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ドキュメント\PSD\data\downloads\"/>
    </mc:Choice>
  </mc:AlternateContent>
  <xr:revisionPtr revIDLastSave="0" documentId="13_ncr:1_{84290758-E003-4783-8FFB-556DFB79A86E}" xr6:coauthVersionLast="47" xr6:coauthVersionMax="47" xr10:uidLastSave="{00000000-0000-0000-0000-000000000000}"/>
  <bookViews>
    <workbookView xWindow="-120" yWindow="-120" windowWidth="20730" windowHeight="11160" xr2:uid="{ACAAC917-3BFA-4164-9A04-DE1565CA24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1" l="1"/>
  <c r="C12" i="1"/>
  <c r="C13" i="1"/>
  <c r="C14" i="1"/>
  <c r="C15" i="1"/>
  <c r="C16" i="1"/>
  <c r="C11" i="1"/>
  <c r="M37" i="1"/>
  <c r="M36" i="1"/>
  <c r="N36" i="1"/>
  <c r="O36" i="1" s="1"/>
  <c r="N37" i="1"/>
  <c r="O37" i="1" s="1"/>
  <c r="M35" i="1"/>
  <c r="G37" i="1"/>
  <c r="G36" i="1"/>
  <c r="G35" i="1"/>
  <c r="M22" i="1"/>
  <c r="M21" i="1"/>
  <c r="N22" i="1"/>
  <c r="O22" i="1" s="1"/>
  <c r="N21" i="1"/>
  <c r="O21" i="1" s="1"/>
  <c r="M20" i="1"/>
  <c r="H20" i="1"/>
  <c r="I20" i="1" s="1"/>
  <c r="G21" i="1"/>
  <c r="H21" i="1" s="1"/>
  <c r="I21" i="1" s="1"/>
  <c r="G22" i="1"/>
  <c r="F3" i="1"/>
  <c r="H3" i="1" s="1"/>
  <c r="F4" i="1"/>
  <c r="H4" i="1" s="1"/>
  <c r="F2" i="1"/>
  <c r="H2" i="1" s="1"/>
  <c r="H5" i="1" s="1"/>
  <c r="G2" i="1"/>
  <c r="G4" i="1"/>
  <c r="G3" i="1"/>
  <c r="N35" i="1" l="1"/>
  <c r="O35" i="1" s="1"/>
  <c r="O38" i="1" s="1"/>
  <c r="H37" i="1"/>
  <c r="I37" i="1" s="1"/>
  <c r="H36" i="1"/>
  <c r="I36" i="1" s="1"/>
  <c r="H35" i="1"/>
  <c r="I35" i="1" s="1"/>
  <c r="I38" i="1" s="1"/>
  <c r="C41" i="1" s="1"/>
  <c r="N20" i="1"/>
  <c r="O20" i="1"/>
  <c r="O23" i="1" s="1"/>
  <c r="H22" i="1"/>
  <c r="I22" i="1" s="1"/>
  <c r="I23" i="1" s="1"/>
  <c r="C27" i="1" s="1"/>
</calcChain>
</file>

<file path=xl/sharedStrings.xml><?xml version="1.0" encoding="utf-8"?>
<sst xmlns="http://schemas.openxmlformats.org/spreadsheetml/2006/main" count="70" uniqueCount="27">
  <si>
    <t>0.2</t>
  </si>
  <si>
    <t>1.4</t>
  </si>
  <si>
    <t>1.5</t>
  </si>
  <si>
    <t>2.5</t>
  </si>
  <si>
    <t>1.9</t>
  </si>
  <si>
    <t>target</t>
  </si>
  <si>
    <t>fitur</t>
  </si>
  <si>
    <t>Class</t>
  </si>
  <si>
    <t>probailit</t>
  </si>
  <si>
    <t>probba 1</t>
  </si>
  <si>
    <t xml:space="preserve">cut value </t>
  </si>
  <si>
    <t>prob x (1-prob)</t>
  </si>
  <si>
    <t>cut value = 0.2</t>
  </si>
  <si>
    <t>left</t>
  </si>
  <si>
    <t>right</t>
  </si>
  <si>
    <t>class</t>
  </si>
  <si>
    <t>Left</t>
  </si>
  <si>
    <t>Riht</t>
  </si>
  <si>
    <t xml:space="preserve">gini split </t>
  </si>
  <si>
    <t>prob</t>
  </si>
  <si>
    <t>1-prob</t>
  </si>
  <si>
    <t>prob * (1-prob)</t>
  </si>
  <si>
    <t>gini impuity left node</t>
  </si>
  <si>
    <t>cut value = 0.8</t>
  </si>
  <si>
    <t xml:space="preserve">Left </t>
  </si>
  <si>
    <t>Right</t>
  </si>
  <si>
    <t>gini impuity Right 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</si>
</sst>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69" formatCode="0.0000"/>
  </numFmts>
  <fonts count="4" x14ac:knownFonts="1">
    <font>
      <sz val="11"/>
      <color theme="1"/>
      <name val="Calibri"/>
      <family val="2"/>
      <scheme val="minor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168" fontId="1" fillId="0" borderId="1" xfId="0" applyNumberFormat="1" applyFont="1" applyBorder="1" applyAlignment="1">
      <alignment vertical="center"/>
    </xf>
    <xf numFmtId="169" fontId="2" fillId="0" borderId="1" xfId="0" applyNumberFormat="1" applyFont="1" applyBorder="1" applyAlignment="1">
      <alignment vertical="center"/>
    </xf>
    <xf numFmtId="0" fontId="3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E700-9242-45D5-8773-CE9428168C36}">
  <dimension ref="B1:P41"/>
  <sheetViews>
    <sheetView tabSelected="1" topLeftCell="A17" zoomScale="87" zoomScaleNormal="78" workbookViewId="0">
      <selection activeCell="E18" sqref="E18:J18"/>
    </sheetView>
  </sheetViews>
  <sheetFormatPr defaultRowHeight="15" x14ac:dyDescent="0.25"/>
  <cols>
    <col min="8" max="8" width="19.7109375" customWidth="1"/>
    <col min="14" max="14" width="22" customWidth="1"/>
  </cols>
  <sheetData>
    <row r="1" spans="2:8" x14ac:dyDescent="0.25">
      <c r="B1" t="s">
        <v>6</v>
      </c>
      <c r="C1" t="s">
        <v>5</v>
      </c>
      <c r="E1" t="s">
        <v>7</v>
      </c>
      <c r="F1" t="s">
        <v>8</v>
      </c>
      <c r="G1" t="s">
        <v>9</v>
      </c>
      <c r="H1" t="s">
        <v>11</v>
      </c>
    </row>
    <row r="2" spans="2:8" x14ac:dyDescent="0.25">
      <c r="B2" t="s">
        <v>0</v>
      </c>
      <c r="C2">
        <v>0</v>
      </c>
      <c r="E2">
        <v>0</v>
      </c>
      <c r="F2">
        <f>1/3</f>
        <v>0.33333333333333331</v>
      </c>
      <c r="G2">
        <f>2/3</f>
        <v>0.66666666666666663</v>
      </c>
      <c r="H2">
        <f>F2 * (1 -F2)</f>
        <v>0.22222222222222224</v>
      </c>
    </row>
    <row r="3" spans="2:8" x14ac:dyDescent="0.25">
      <c r="B3" t="s">
        <v>0</v>
      </c>
      <c r="C3">
        <v>0</v>
      </c>
      <c r="E3">
        <v>1</v>
      </c>
      <c r="F3">
        <f t="shared" ref="F3:F4" si="0">1/3</f>
        <v>0.33333333333333331</v>
      </c>
      <c r="G3">
        <f>2/3</f>
        <v>0.66666666666666663</v>
      </c>
      <c r="H3">
        <f t="shared" ref="H3:H4" si="1">F3 * (1 -F3)</f>
        <v>0.22222222222222224</v>
      </c>
    </row>
    <row r="4" spans="2:8" x14ac:dyDescent="0.25">
      <c r="B4" t="s">
        <v>1</v>
      </c>
      <c r="C4">
        <v>1</v>
      </c>
      <c r="E4">
        <v>2</v>
      </c>
      <c r="F4">
        <f t="shared" si="0"/>
        <v>0.33333333333333331</v>
      </c>
      <c r="G4">
        <f>2/3</f>
        <v>0.66666666666666663</v>
      </c>
      <c r="H4">
        <f t="shared" si="1"/>
        <v>0.22222222222222224</v>
      </c>
    </row>
    <row r="5" spans="2:8" x14ac:dyDescent="0.25">
      <c r="B5" t="s">
        <v>2</v>
      </c>
      <c r="C5">
        <v>1</v>
      </c>
      <c r="H5">
        <f>SUM(H2:H4)</f>
        <v>0.66666666666666674</v>
      </c>
    </row>
    <row r="6" spans="2:8" x14ac:dyDescent="0.25">
      <c r="B6" t="s">
        <v>3</v>
      </c>
      <c r="C6">
        <v>2</v>
      </c>
    </row>
    <row r="7" spans="2:8" x14ac:dyDescent="0.25">
      <c r="B7" t="s">
        <v>4</v>
      </c>
      <c r="C7">
        <v>2</v>
      </c>
    </row>
    <row r="10" spans="2:8" x14ac:dyDescent="0.25">
      <c r="B10" t="s">
        <v>6</v>
      </c>
      <c r="C10" t="s">
        <v>10</v>
      </c>
    </row>
    <row r="11" spans="2:8" x14ac:dyDescent="0.25">
      <c r="B11">
        <v>0.2</v>
      </c>
      <c r="C11" s="1">
        <f>AVERAGE(B11:B12)</f>
        <v>0.2</v>
      </c>
    </row>
    <row r="12" spans="2:8" x14ac:dyDescent="0.25">
      <c r="B12">
        <v>0.2</v>
      </c>
      <c r="C12" s="1">
        <f>AVERAGE(B12:B13)</f>
        <v>0.79999999999999993</v>
      </c>
      <c r="E12" s="2"/>
    </row>
    <row r="13" spans="2:8" x14ac:dyDescent="0.25">
      <c r="B13">
        <v>1.4</v>
      </c>
      <c r="C13" s="1">
        <f>AVERAGE(B13:B14)</f>
        <v>1.45</v>
      </c>
      <c r="E13" s="2"/>
    </row>
    <row r="14" spans="2:8" x14ac:dyDescent="0.25">
      <c r="B14">
        <v>1.5</v>
      </c>
      <c r="C14" s="1">
        <f>AVERAGE(B14:B15)</f>
        <v>2</v>
      </c>
      <c r="E14" s="2"/>
    </row>
    <row r="15" spans="2:8" x14ac:dyDescent="0.25">
      <c r="B15">
        <v>2.5</v>
      </c>
      <c r="C15" s="1">
        <f>AVERAGE(B15:B16)</f>
        <v>2.2000000000000002</v>
      </c>
      <c r="E15" s="2"/>
    </row>
    <row r="16" spans="2:8" x14ac:dyDescent="0.25">
      <c r="B16">
        <v>1.9</v>
      </c>
      <c r="C16" s="1">
        <f>AVERAGE(B16:B17)</f>
        <v>1.9</v>
      </c>
    </row>
    <row r="18" spans="2:16" x14ac:dyDescent="0.25">
      <c r="B18" t="s">
        <v>12</v>
      </c>
      <c r="E18" s="3" t="s">
        <v>16</v>
      </c>
      <c r="F18" s="3"/>
      <c r="G18" s="3"/>
      <c r="H18" s="3"/>
      <c r="I18" s="3"/>
      <c r="J18" s="3"/>
      <c r="K18" s="4" t="s">
        <v>17</v>
      </c>
      <c r="L18" s="4"/>
      <c r="M18" s="4"/>
      <c r="N18" s="4"/>
      <c r="O18" s="4"/>
      <c r="P18" s="4"/>
    </row>
    <row r="19" spans="2:16" x14ac:dyDescent="0.25">
      <c r="B19" t="s">
        <v>6</v>
      </c>
      <c r="C19" t="s">
        <v>5</v>
      </c>
      <c r="F19" t="s">
        <v>15</v>
      </c>
      <c r="G19" t="s">
        <v>19</v>
      </c>
      <c r="H19" t="s">
        <v>20</v>
      </c>
      <c r="I19" t="s">
        <v>21</v>
      </c>
      <c r="L19" t="s">
        <v>15</v>
      </c>
      <c r="M19" t="s">
        <v>19</v>
      </c>
      <c r="N19" t="s">
        <v>20</v>
      </c>
      <c r="O19" t="s">
        <v>21</v>
      </c>
    </row>
    <row r="20" spans="2:16" x14ac:dyDescent="0.25">
      <c r="B20" t="s">
        <v>0</v>
      </c>
      <c r="C20">
        <v>0</v>
      </c>
      <c r="D20" t="s">
        <v>13</v>
      </c>
      <c r="F20">
        <v>0</v>
      </c>
      <c r="G20">
        <f>2/2</f>
        <v>1</v>
      </c>
      <c r="H20">
        <f xml:space="preserve"> 1-G20</f>
        <v>0</v>
      </c>
      <c r="I20">
        <f xml:space="preserve"> G20 *H20</f>
        <v>0</v>
      </c>
      <c r="L20">
        <v>0</v>
      </c>
      <c r="M20">
        <f>0/2</f>
        <v>0</v>
      </c>
      <c r="N20">
        <f>1-M20</f>
        <v>1</v>
      </c>
      <c r="O20">
        <f>M20*N20</f>
        <v>0</v>
      </c>
    </row>
    <row r="21" spans="2:16" x14ac:dyDescent="0.25">
      <c r="B21" t="s">
        <v>0</v>
      </c>
      <c r="C21">
        <v>0</v>
      </c>
      <c r="D21" t="s">
        <v>13</v>
      </c>
      <c r="F21">
        <v>1</v>
      </c>
      <c r="G21">
        <f>0/2</f>
        <v>0</v>
      </c>
      <c r="H21">
        <f t="shared" ref="H21:H22" si="2" xml:space="preserve"> 1-G21</f>
        <v>1</v>
      </c>
      <c r="I21">
        <f t="shared" ref="I21:I22" si="3" xml:space="preserve"> G21 *H21</f>
        <v>0</v>
      </c>
      <c r="L21">
        <v>1</v>
      </c>
      <c r="M21">
        <f xml:space="preserve"> 2/2</f>
        <v>1</v>
      </c>
      <c r="N21">
        <f>1-M21</f>
        <v>0</v>
      </c>
      <c r="O21">
        <f t="shared" ref="O21:O22" si="4">M21*N21</f>
        <v>0</v>
      </c>
    </row>
    <row r="22" spans="2:16" x14ac:dyDescent="0.25">
      <c r="B22" t="s">
        <v>1</v>
      </c>
      <c r="C22">
        <v>1</v>
      </c>
      <c r="D22" t="s">
        <v>14</v>
      </c>
      <c r="F22">
        <v>2</v>
      </c>
      <c r="G22">
        <f>0/2</f>
        <v>0</v>
      </c>
      <c r="H22">
        <f t="shared" si="2"/>
        <v>1</v>
      </c>
      <c r="I22">
        <f t="shared" si="3"/>
        <v>0</v>
      </c>
      <c r="L22">
        <v>2</v>
      </c>
      <c r="M22">
        <f>2/2</f>
        <v>1</v>
      </c>
      <c r="N22">
        <f>1-M22</f>
        <v>0</v>
      </c>
      <c r="O22">
        <f t="shared" si="4"/>
        <v>0</v>
      </c>
    </row>
    <row r="23" spans="2:16" x14ac:dyDescent="0.25">
      <c r="B23" t="s">
        <v>2</v>
      </c>
      <c r="C23">
        <v>1</v>
      </c>
      <c r="D23" t="s">
        <v>14</v>
      </c>
      <c r="H23" t="s">
        <v>22</v>
      </c>
      <c r="I23">
        <f>SUM(I20:I22)</f>
        <v>0</v>
      </c>
      <c r="N23" t="s">
        <v>26</v>
      </c>
      <c r="O23">
        <f>SUM(O20:O22)</f>
        <v>0</v>
      </c>
    </row>
    <row r="24" spans="2:16" x14ac:dyDescent="0.25">
      <c r="B24" t="s">
        <v>3</v>
      </c>
      <c r="C24">
        <v>2</v>
      </c>
      <c r="D24" t="s">
        <v>14</v>
      </c>
    </row>
    <row r="25" spans="2:16" x14ac:dyDescent="0.25">
      <c r="B25" t="s">
        <v>4</v>
      </c>
      <c r="C25">
        <v>2</v>
      </c>
      <c r="D25" t="s">
        <v>14</v>
      </c>
    </row>
    <row r="27" spans="2:16" x14ac:dyDescent="0.25">
      <c r="B27" t="s">
        <v>18</v>
      </c>
      <c r="C27">
        <f>(2/6)*I23+(4/6)*O23</f>
        <v>0</v>
      </c>
    </row>
    <row r="32" spans="2:16" x14ac:dyDescent="0.25">
      <c r="B32" t="s">
        <v>23</v>
      </c>
    </row>
    <row r="33" spans="2:15" x14ac:dyDescent="0.25">
      <c r="B33" t="s">
        <v>6</v>
      </c>
      <c r="C33" t="s">
        <v>5</v>
      </c>
      <c r="E33" t="s">
        <v>24</v>
      </c>
      <c r="K33" t="s">
        <v>25</v>
      </c>
    </row>
    <row r="34" spans="2:15" x14ac:dyDescent="0.25">
      <c r="B34" t="s">
        <v>0</v>
      </c>
      <c r="C34">
        <v>0</v>
      </c>
      <c r="D34" t="s">
        <v>13</v>
      </c>
      <c r="F34" t="s">
        <v>15</v>
      </c>
      <c r="G34" t="s">
        <v>19</v>
      </c>
      <c r="H34" t="s">
        <v>20</v>
      </c>
      <c r="I34" t="s">
        <v>21</v>
      </c>
      <c r="L34" t="s">
        <v>15</v>
      </c>
      <c r="M34" t="s">
        <v>19</v>
      </c>
      <c r="N34" t="s">
        <v>20</v>
      </c>
      <c r="O34" t="s">
        <v>21</v>
      </c>
    </row>
    <row r="35" spans="2:15" x14ac:dyDescent="0.25">
      <c r="B35" t="s">
        <v>0</v>
      </c>
      <c r="C35">
        <v>0</v>
      </c>
      <c r="D35" t="s">
        <v>13</v>
      </c>
      <c r="F35">
        <v>0</v>
      </c>
      <c r="G35">
        <f xml:space="preserve"> 2/2</f>
        <v>1</v>
      </c>
      <c r="H35">
        <f xml:space="preserve"> 1-G35</f>
        <v>0</v>
      </c>
      <c r="I35">
        <f xml:space="preserve"> G35*H35</f>
        <v>0</v>
      </c>
      <c r="L35">
        <v>0</v>
      </c>
      <c r="M35">
        <f>0/2</f>
        <v>0</v>
      </c>
      <c r="N35">
        <f>1-M35</f>
        <v>1</v>
      </c>
      <c r="O35">
        <f xml:space="preserve"> M35*N35</f>
        <v>0</v>
      </c>
    </row>
    <row r="36" spans="2:15" x14ac:dyDescent="0.25">
      <c r="B36" t="s">
        <v>1</v>
      </c>
      <c r="C36">
        <v>1</v>
      </c>
      <c r="D36" t="s">
        <v>14</v>
      </c>
      <c r="F36">
        <v>1</v>
      </c>
      <c r="G36">
        <f xml:space="preserve"> 0/2</f>
        <v>0</v>
      </c>
      <c r="H36">
        <f t="shared" ref="H36:H37" si="5" xml:space="preserve"> 1-G36</f>
        <v>1</v>
      </c>
      <c r="I36">
        <f t="shared" ref="I36:I37" si="6" xml:space="preserve"> G36*H36</f>
        <v>0</v>
      </c>
      <c r="L36">
        <v>1</v>
      </c>
      <c r="M36">
        <f>2/4</f>
        <v>0.5</v>
      </c>
      <c r="N36">
        <f t="shared" ref="N36:N37" si="7">1-M36</f>
        <v>0.5</v>
      </c>
      <c r="O36">
        <f t="shared" ref="O36:O37" si="8" xml:space="preserve"> M36*N36</f>
        <v>0.25</v>
      </c>
    </row>
    <row r="37" spans="2:15" x14ac:dyDescent="0.25">
      <c r="B37" t="s">
        <v>2</v>
      </c>
      <c r="C37">
        <v>1</v>
      </c>
      <c r="D37" t="s">
        <v>14</v>
      </c>
      <c r="F37">
        <v>2</v>
      </c>
      <c r="G37">
        <f xml:space="preserve"> 0/2</f>
        <v>0</v>
      </c>
      <c r="H37">
        <f t="shared" si="5"/>
        <v>1</v>
      </c>
      <c r="I37">
        <f t="shared" si="6"/>
        <v>0</v>
      </c>
      <c r="L37">
        <v>2</v>
      </c>
      <c r="M37">
        <f>2/4</f>
        <v>0.5</v>
      </c>
      <c r="N37">
        <f t="shared" si="7"/>
        <v>0.5</v>
      </c>
      <c r="O37">
        <f t="shared" si="8"/>
        <v>0.25</v>
      </c>
    </row>
    <row r="38" spans="2:15" x14ac:dyDescent="0.25">
      <c r="B38" t="s">
        <v>3</v>
      </c>
      <c r="C38">
        <v>2</v>
      </c>
      <c r="D38" t="s">
        <v>14</v>
      </c>
      <c r="H38" t="s">
        <v>22</v>
      </c>
      <c r="I38">
        <f>SUM(I35:I37)</f>
        <v>0</v>
      </c>
      <c r="N38" t="s">
        <v>26</v>
      </c>
      <c r="O38">
        <f>SUM(O35:O37)</f>
        <v>0.5</v>
      </c>
    </row>
    <row r="39" spans="2:15" x14ac:dyDescent="0.25">
      <c r="B39" t="s">
        <v>4</v>
      </c>
      <c r="C39">
        <v>2</v>
      </c>
      <c r="D39" t="s">
        <v>14</v>
      </c>
    </row>
    <row r="41" spans="2:15" x14ac:dyDescent="0.25">
      <c r="B41" t="s">
        <v>18</v>
      </c>
      <c r="C41">
        <f xml:space="preserve"> (2/6)*I38 + (4/6)*O38</f>
        <v>0.33333333333333331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Knight Star</dc:creator>
  <cp:lastModifiedBy>Knight Star</cp:lastModifiedBy>
  <dcterms:created xsi:type="dcterms:W3CDTF">2026-09-22T00:57:16Z</dcterms:created>
  <dcterms:modified xsi:type="dcterms:W3CDTF">2026-09-22T02:20:25Z</dcterms:modified>
</cp:coreProperties>
</file>